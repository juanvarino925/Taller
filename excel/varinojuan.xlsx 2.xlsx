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VARINOJUAN\"/>
    </mc:Choice>
  </mc:AlternateContent>
  <xr:revisionPtr revIDLastSave="0" documentId="13_ncr:1_{1B014AAC-1B4A-4312-A2E4-75C56F871784}" xr6:coauthVersionLast="47" xr6:coauthVersionMax="47" xr10:uidLastSave="{00000000-0000-0000-0000-000000000000}"/>
  <bookViews>
    <workbookView xWindow="-120" yWindow="-120" windowWidth="29040" windowHeight="15720" activeTab="1" xr2:uid="{F4349882-76CD-4AEE-95A8-7C96567C06BA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2" l="1"/>
  <c r="E2" i="2"/>
  <c r="F4" i="3"/>
  <c r="F5" i="3"/>
  <c r="F6" i="3"/>
  <c r="F7" i="3"/>
  <c r="F3" i="3"/>
  <c r="I1" i="3"/>
  <c r="G3" i="3"/>
  <c r="G4" i="3"/>
  <c r="G5" i="3"/>
  <c r="G6" i="3"/>
  <c r="G7" i="3"/>
  <c r="E4" i="3"/>
  <c r="E5" i="3"/>
  <c r="E6" i="3"/>
  <c r="E7" i="3"/>
  <c r="E3" i="3"/>
  <c r="E3" i="2"/>
  <c r="E4" i="2"/>
  <c r="E5" i="2"/>
  <c r="E6" i="2"/>
  <c r="D2" i="2"/>
  <c r="D3" i="2"/>
  <c r="D4" i="2"/>
  <c r="D5" i="2"/>
  <c r="D6" i="2"/>
  <c r="C4" i="2"/>
  <c r="C3" i="2"/>
  <c r="C5" i="2"/>
  <c r="C6" i="2"/>
  <c r="C2" i="2"/>
</calcChain>
</file>

<file path=xl/sharedStrings.xml><?xml version="1.0" encoding="utf-8"?>
<sst xmlns="http://schemas.openxmlformats.org/spreadsheetml/2006/main" count="97" uniqueCount="68">
  <si>
    <t>lunes</t>
  </si>
  <si>
    <t>martes</t>
  </si>
  <si>
    <t>miércoles</t>
  </si>
  <si>
    <t>jueves</t>
  </si>
  <si>
    <t>viernes</t>
  </si>
  <si>
    <t>7:30-8:10</t>
  </si>
  <si>
    <t>9:40-10:20</t>
  </si>
  <si>
    <t>8:10-8:50</t>
  </si>
  <si>
    <t>11:10-11:50</t>
  </si>
  <si>
    <t>11:50-12:30</t>
  </si>
  <si>
    <t>10:30-11:10</t>
  </si>
  <si>
    <t>9:00-9:40</t>
  </si>
  <si>
    <t>Horario 2026</t>
  </si>
  <si>
    <t>Horas/Dias</t>
  </si>
  <si>
    <t>Talller</t>
  </si>
  <si>
    <t>Taller?</t>
  </si>
  <si>
    <t>12:30-13:10</t>
  </si>
  <si>
    <t>13:10-16:50</t>
  </si>
  <si>
    <t>Recreo 10minutos</t>
  </si>
  <si>
    <t>programacion
(javi)</t>
  </si>
  <si>
    <t>lengua
(fluxa)</t>
  </si>
  <si>
    <t>matematica
(giombi)</t>
  </si>
  <si>
    <t>procesos prod.
(rios)</t>
  </si>
  <si>
    <t>hadware
(aguirre)</t>
  </si>
  <si>
    <t>organización y 
gestion (gualini)</t>
  </si>
  <si>
    <t>formacion etica
(marco)</t>
  </si>
  <si>
    <t>software
(rios)</t>
  </si>
  <si>
    <t>Ingles
(yacovella)</t>
  </si>
  <si>
    <t>marco juridico
(gualini)</t>
  </si>
  <si>
    <t>Nombre</t>
  </si>
  <si>
    <t>Nombre y Apellido</t>
  </si>
  <si>
    <t>Apellido</t>
  </si>
  <si>
    <t>usuario</t>
  </si>
  <si>
    <t>email</t>
  </si>
  <si>
    <t>Pedro</t>
  </si>
  <si>
    <t>Sanchez</t>
  </si>
  <si>
    <t>Gonzales</t>
  </si>
  <si>
    <t>Claudia</t>
  </si>
  <si>
    <t>Mateo</t>
  </si>
  <si>
    <t>Perez</t>
  </si>
  <si>
    <t>Mario</t>
  </si>
  <si>
    <t>Juana</t>
  </si>
  <si>
    <t>Iturraspe</t>
  </si>
  <si>
    <t>Pereyra</t>
  </si>
  <si>
    <t>Dominio:</t>
  </si>
  <si>
    <t>Domicilio</t>
  </si>
  <si>
    <t>Luis</t>
  </si>
  <si>
    <t>Carina</t>
  </si>
  <si>
    <t>Fernando</t>
  </si>
  <si>
    <t>Rodriguez</t>
  </si>
  <si>
    <t>Benitez</t>
  </si>
  <si>
    <t>Cosimi</t>
  </si>
  <si>
    <t>Castellano</t>
  </si>
  <si>
    <t>4 de enero</t>
  </si>
  <si>
    <t>Balcarce</t>
  </si>
  <si>
    <t>Espora</t>
  </si>
  <si>
    <t>Las Heras</t>
  </si>
  <si>
    <t>Razon Social</t>
  </si>
  <si>
    <t>Calle</t>
  </si>
  <si>
    <t>Nro</t>
  </si>
  <si>
    <t>Direccion</t>
  </si>
  <si>
    <t>Email</t>
  </si>
  <si>
    <t>Belgrano</t>
  </si>
  <si>
    <t>Gustavo</t>
  </si>
  <si>
    <t>1.Debajo del titulo dire3ccion concatenar la misma tal que quede Belgrano2322</t>
  </si>
  <si>
    <t>2.En email deberas concatenar el nombre con el apellido y luego el dominio, de tal forma que quede por ejemplo: pedrosanchez@gmail.com</t>
  </si>
  <si>
    <t>Tener presente que el email debe estar todo en miniculas , aplicar la funcion misuc</t>
  </si>
  <si>
    <t>3.dar formato como aparece en la tabla: los titulos centrados, con colores de fondo y de letra. La tabla debe poseer borde de contoprno diferentes al borde 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</si>
</sst>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4" borderId="0" xfId="0" applyFill="1"/>
    <xf numFmtId="0" fontId="0" fillId="4" borderId="13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6D44-BE6E-4801-B9E4-7D60E400F537}">
  <dimension ref="B1:H15"/>
  <sheetViews>
    <sheetView workbookViewId="0">
      <selection activeCell="I12" sqref="I12"/>
    </sheetView>
  </sheetViews>
  <sheetFormatPr baseColWidth="10" defaultRowHeight="15" x14ac:dyDescent="0.25"/>
  <cols>
    <col min="2" max="2" width="2" bestFit="1" customWidth="1"/>
    <col min="4" max="8" width="13.7109375" customWidth="1"/>
  </cols>
  <sheetData>
    <row r="1" spans="2:8" ht="15.75" thickBot="1" x14ac:dyDescent="0.3"/>
    <row r="2" spans="2:8" ht="15.75" thickTop="1" x14ac:dyDescent="0.25">
      <c r="B2" s="13" t="s">
        <v>12</v>
      </c>
      <c r="C2" s="14"/>
      <c r="D2" s="14"/>
      <c r="E2" s="14"/>
      <c r="F2" s="14"/>
      <c r="G2" s="14"/>
      <c r="H2" s="15"/>
    </row>
    <row r="3" spans="2:8" x14ac:dyDescent="0.25">
      <c r="B3" s="16"/>
      <c r="C3" s="17"/>
      <c r="D3" s="17"/>
      <c r="E3" s="17"/>
      <c r="F3" s="17"/>
      <c r="G3" s="17"/>
      <c r="H3" s="18"/>
    </row>
    <row r="4" spans="2:8" ht="15.75" customHeight="1" x14ac:dyDescent="0.25">
      <c r="B4" s="19" t="s">
        <v>13</v>
      </c>
      <c r="C4" s="20"/>
      <c r="D4" t="s">
        <v>0</v>
      </c>
      <c r="E4" t="s">
        <v>1</v>
      </c>
      <c r="F4" t="s">
        <v>2</v>
      </c>
      <c r="G4" t="s">
        <v>3</v>
      </c>
      <c r="H4" s="3" t="s">
        <v>4</v>
      </c>
    </row>
    <row r="5" spans="2:8" ht="39.75" customHeight="1" x14ac:dyDescent="0.25">
      <c r="B5" s="1">
        <v>1</v>
      </c>
      <c r="C5" s="1" t="s">
        <v>5</v>
      </c>
      <c r="D5" s="6" t="s">
        <v>19</v>
      </c>
      <c r="E5" s="5" t="s">
        <v>21</v>
      </c>
      <c r="F5" s="5" t="s">
        <v>23</v>
      </c>
      <c r="G5" s="5" t="s">
        <v>25</v>
      </c>
      <c r="H5" s="6" t="s">
        <v>27</v>
      </c>
    </row>
    <row r="6" spans="2:8" ht="45" x14ac:dyDescent="0.25">
      <c r="B6" s="1">
        <v>2</v>
      </c>
      <c r="C6" s="1" t="s">
        <v>7</v>
      </c>
      <c r="D6" s="6" t="s">
        <v>19</v>
      </c>
      <c r="E6" s="5" t="s">
        <v>21</v>
      </c>
      <c r="F6" s="5" t="s">
        <v>23</v>
      </c>
      <c r="G6" s="5" t="s">
        <v>25</v>
      </c>
      <c r="H6" s="5" t="s">
        <v>27</v>
      </c>
    </row>
    <row r="7" spans="2:8" x14ac:dyDescent="0.25">
      <c r="B7" s="22" t="s">
        <v>18</v>
      </c>
      <c r="C7" s="23"/>
      <c r="D7" s="23"/>
      <c r="E7" s="23"/>
      <c r="F7" s="23"/>
      <c r="G7" s="23"/>
      <c r="H7" s="24"/>
    </row>
    <row r="8" spans="2:8" ht="30" x14ac:dyDescent="0.25">
      <c r="B8" s="1">
        <v>3</v>
      </c>
      <c r="C8" s="1" t="s">
        <v>11</v>
      </c>
      <c r="D8" s="6" t="s">
        <v>19</v>
      </c>
      <c r="E8" s="5" t="s">
        <v>21</v>
      </c>
      <c r="F8" s="5" t="s">
        <v>23</v>
      </c>
      <c r="G8" s="5" t="s">
        <v>21</v>
      </c>
      <c r="H8" s="5" t="s">
        <v>28</v>
      </c>
    </row>
    <row r="9" spans="2:8" ht="45" x14ac:dyDescent="0.25">
      <c r="B9" s="1">
        <v>4</v>
      </c>
      <c r="C9" s="2" t="s">
        <v>6</v>
      </c>
      <c r="D9" s="6" t="s">
        <v>19</v>
      </c>
      <c r="E9" s="5" t="s">
        <v>22</v>
      </c>
      <c r="F9" s="5" t="s">
        <v>23</v>
      </c>
      <c r="G9" s="5" t="s">
        <v>26</v>
      </c>
      <c r="H9" s="5" t="s">
        <v>28</v>
      </c>
    </row>
    <row r="10" spans="2:8" x14ac:dyDescent="0.25">
      <c r="B10" s="22" t="s">
        <v>18</v>
      </c>
      <c r="C10" s="23"/>
      <c r="D10" s="23"/>
      <c r="E10" s="23"/>
      <c r="F10" s="23"/>
      <c r="G10" s="23"/>
      <c r="H10" s="24"/>
    </row>
    <row r="11" spans="2:8" ht="45" x14ac:dyDescent="0.25">
      <c r="B11" s="1">
        <v>5</v>
      </c>
      <c r="C11" s="1" t="s">
        <v>10</v>
      </c>
      <c r="D11" s="6" t="s">
        <v>20</v>
      </c>
      <c r="E11" s="5" t="s">
        <v>22</v>
      </c>
      <c r="F11" s="5" t="s">
        <v>24</v>
      </c>
      <c r="G11" s="5" t="s">
        <v>26</v>
      </c>
      <c r="H11" s="5" t="s">
        <v>28</v>
      </c>
    </row>
    <row r="12" spans="2:8" ht="45" x14ac:dyDescent="0.25">
      <c r="B12" s="1">
        <v>6</v>
      </c>
      <c r="C12" s="1" t="s">
        <v>8</v>
      </c>
      <c r="D12" s="5" t="s">
        <v>20</v>
      </c>
      <c r="E12" s="5" t="s">
        <v>22</v>
      </c>
      <c r="F12" s="5" t="s">
        <v>24</v>
      </c>
      <c r="G12" s="5" t="s">
        <v>26</v>
      </c>
      <c r="H12" s="1"/>
    </row>
    <row r="13" spans="2:8" ht="45" x14ac:dyDescent="0.25">
      <c r="B13" s="1">
        <v>7</v>
      </c>
      <c r="C13" s="1" t="s">
        <v>9</v>
      </c>
      <c r="D13" s="5" t="s">
        <v>20</v>
      </c>
      <c r="E13" s="1"/>
      <c r="F13" s="5" t="s">
        <v>24</v>
      </c>
      <c r="G13" s="5" t="s">
        <v>26</v>
      </c>
      <c r="H13" s="1"/>
    </row>
    <row r="14" spans="2:8" ht="45" x14ac:dyDescent="0.25">
      <c r="B14" s="1">
        <v>8</v>
      </c>
      <c r="C14" s="1" t="s">
        <v>16</v>
      </c>
      <c r="D14" s="1"/>
      <c r="E14" s="1"/>
      <c r="F14" s="5" t="s">
        <v>24</v>
      </c>
      <c r="G14" s="1"/>
      <c r="H14" s="1"/>
    </row>
    <row r="15" spans="2:8" x14ac:dyDescent="0.25">
      <c r="B15" s="1"/>
      <c r="C15" s="1" t="s">
        <v>17</v>
      </c>
      <c r="D15" s="21"/>
      <c r="E15" s="21"/>
      <c r="F15" s="21"/>
      <c r="G15" s="1" t="s">
        <v>15</v>
      </c>
      <c r="H15" s="1" t="s">
        <v>14</v>
      </c>
    </row>
  </sheetData>
  <mergeCells count="5">
    <mergeCell ref="B2:H3"/>
    <mergeCell ref="B4:C4"/>
    <mergeCell ref="D15:F15"/>
    <mergeCell ref="B7:H7"/>
    <mergeCell ref="B10:H10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E2C1-43B0-4B7B-A6CC-9032D09D4645}">
  <dimension ref="A1:E8"/>
  <sheetViews>
    <sheetView tabSelected="1" workbookViewId="0">
      <selection activeCell="E2" sqref="E2"/>
    </sheetView>
  </sheetViews>
  <sheetFormatPr baseColWidth="10" defaultRowHeight="15" x14ac:dyDescent="0.25"/>
  <cols>
    <col min="3" max="3" width="34.85546875" customWidth="1"/>
    <col min="4" max="4" width="24" customWidth="1"/>
    <col min="5" max="5" width="40" customWidth="1"/>
  </cols>
  <sheetData>
    <row r="1" spans="1:5" x14ac:dyDescent="0.25">
      <c r="A1" t="s">
        <v>29</v>
      </c>
      <c r="B1" t="s">
        <v>31</v>
      </c>
      <c r="C1" t="s">
        <v>30</v>
      </c>
      <c r="D1" t="s">
        <v>32</v>
      </c>
      <c r="E1" t="s">
        <v>33</v>
      </c>
    </row>
    <row r="2" spans="1:5" x14ac:dyDescent="0.25">
      <c r="A2" t="s">
        <v>34</v>
      </c>
      <c r="B2" t="s">
        <v>35</v>
      </c>
      <c r="C2" t="str">
        <f>A2&amp;" "&amp;B2</f>
        <v>Pedro Sanchez</v>
      </c>
      <c r="D2" t="str">
        <f>LOWER(A2&amp;B2)</f>
        <v>pedrosanchez</v>
      </c>
      <c r="E2" t="str">
        <f>D2&amp;B$8</f>
        <v>pedrosanchez@eetp614santotome.edu.ar</v>
      </c>
    </row>
    <row r="3" spans="1:5" x14ac:dyDescent="0.25">
      <c r="A3" t="s">
        <v>37</v>
      </c>
      <c r="B3" t="s">
        <v>36</v>
      </c>
      <c r="C3" t="str">
        <f t="shared" ref="C3:C6" si="0">A3&amp;" "&amp;B3</f>
        <v>Claudia Gonzales</v>
      </c>
      <c r="D3" t="str">
        <f t="shared" ref="D3:D6" si="1">LOWER(A3&amp;B3)</f>
        <v>claudiagonzales</v>
      </c>
      <c r="E3" t="str">
        <f t="shared" ref="E3:E6" si="2">D3&amp;B$8</f>
        <v>claudiagonzales@eetp614santotome.edu.ar</v>
      </c>
    </row>
    <row r="4" spans="1:5" x14ac:dyDescent="0.25">
      <c r="A4" t="s">
        <v>38</v>
      </c>
      <c r="B4" t="s">
        <v>39</v>
      </c>
      <c r="C4" t="str">
        <f>A4&amp;" "&amp;B4</f>
        <v>Mateo Perez</v>
      </c>
      <c r="D4" t="str">
        <f t="shared" si="1"/>
        <v>mateoperez</v>
      </c>
      <c r="E4" t="str">
        <f t="shared" si="2"/>
        <v>mateoperez@eetp614santotome.edu.ar</v>
      </c>
    </row>
    <row r="5" spans="1:5" x14ac:dyDescent="0.25">
      <c r="A5" t="s">
        <v>40</v>
      </c>
      <c r="B5" t="s">
        <v>43</v>
      </c>
      <c r="C5" t="str">
        <f t="shared" si="0"/>
        <v>Mario Pereyra</v>
      </c>
      <c r="D5" t="str">
        <f t="shared" si="1"/>
        <v>mariopereyra</v>
      </c>
      <c r="E5" t="str">
        <f t="shared" si="2"/>
        <v>mariopereyra@eetp614santotome.edu.ar</v>
      </c>
    </row>
    <row r="6" spans="1:5" x14ac:dyDescent="0.25">
      <c r="A6" t="s">
        <v>41</v>
      </c>
      <c r="B6" t="s">
        <v>42</v>
      </c>
      <c r="C6" t="str">
        <f t="shared" si="0"/>
        <v>Juana Iturraspe</v>
      </c>
      <c r="D6" t="str">
        <f t="shared" si="1"/>
        <v>juanaiturraspe</v>
      </c>
      <c r="E6" t="str">
        <f t="shared" si="2"/>
        <v>juanaiturraspe@eetp614santotome.edu.ar</v>
      </c>
    </row>
    <row r="8" spans="1:5" x14ac:dyDescent="0.25">
      <c r="A8" t="s">
        <v>44</v>
      </c>
      <c r="B8" t="str">
        <f>"@eetp614santotome.edu.ar"</f>
        <v>@eetp614santotome.edu.ar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D697-EB6B-41A6-9237-8387F954420F}">
  <dimension ref="A1:I12"/>
  <sheetViews>
    <sheetView workbookViewId="0">
      <selection activeCell="A13" sqref="A13"/>
    </sheetView>
  </sheetViews>
  <sheetFormatPr baseColWidth="10" defaultRowHeight="15" x14ac:dyDescent="0.25"/>
  <cols>
    <col min="5" max="5" width="13" customWidth="1"/>
    <col min="6" max="6" width="33.42578125" customWidth="1"/>
    <col min="7" max="7" width="20.28515625" customWidth="1"/>
  </cols>
  <sheetData>
    <row r="1" spans="1:9" ht="15.75" thickTop="1" x14ac:dyDescent="0.25">
      <c r="A1" s="25" t="s">
        <v>57</v>
      </c>
      <c r="B1" s="25"/>
      <c r="C1" s="25" t="s">
        <v>45</v>
      </c>
      <c r="D1" s="25"/>
      <c r="E1" s="7"/>
      <c r="F1" s="8"/>
      <c r="H1" t="s">
        <v>44</v>
      </c>
      <c r="I1" t="str">
        <f>"@gmail.com"</f>
        <v>@gmail.com</v>
      </c>
    </row>
    <row r="2" spans="1:9" x14ac:dyDescent="0.25">
      <c r="A2" s="11" t="s">
        <v>29</v>
      </c>
      <c r="B2" s="11" t="s">
        <v>31</v>
      </c>
      <c r="C2" s="11" t="s">
        <v>58</v>
      </c>
      <c r="D2" s="11" t="s">
        <v>59</v>
      </c>
      <c r="E2" s="11" t="s">
        <v>60</v>
      </c>
      <c r="F2" s="12" t="s">
        <v>61</v>
      </c>
    </row>
    <row r="3" spans="1:9" x14ac:dyDescent="0.25">
      <c r="A3" t="s">
        <v>34</v>
      </c>
      <c r="B3" t="s">
        <v>35</v>
      </c>
      <c r="C3" t="s">
        <v>62</v>
      </c>
      <c r="D3">
        <v>2322</v>
      </c>
      <c r="E3" t="str">
        <f>C3&amp;" "&amp;D3</f>
        <v>Belgrano 2322</v>
      </c>
      <c r="F3" s="9" t="str">
        <f>(G3&amp;I$1)</f>
        <v>PedroSanchez@gmail.com</v>
      </c>
      <c r="G3" t="str">
        <f>A3&amp;B3</f>
        <v>PedroSanchez</v>
      </c>
    </row>
    <row r="4" spans="1:9" x14ac:dyDescent="0.25">
      <c r="A4" t="s">
        <v>46</v>
      </c>
      <c r="B4" t="s">
        <v>49</v>
      </c>
      <c r="C4" t="s">
        <v>53</v>
      </c>
      <c r="D4">
        <v>710</v>
      </c>
      <c r="E4" t="str">
        <f t="shared" ref="E4:E7" si="0">C4&amp;" "&amp;D4</f>
        <v>4 de enero 710</v>
      </c>
      <c r="F4" s="9" t="str">
        <f t="shared" ref="F4:F7" si="1">(G4&amp;I$1)</f>
        <v>LuisRodriguez@gmail.com</v>
      </c>
      <c r="G4" t="str">
        <f>A4&amp;B4</f>
        <v>LuisRodriguez</v>
      </c>
    </row>
    <row r="5" spans="1:9" x14ac:dyDescent="0.25">
      <c r="A5" t="s">
        <v>47</v>
      </c>
      <c r="B5" t="s">
        <v>50</v>
      </c>
      <c r="C5" t="s">
        <v>54</v>
      </c>
      <c r="D5">
        <v>2244</v>
      </c>
      <c r="E5" t="str">
        <f t="shared" si="0"/>
        <v>Balcarce 2244</v>
      </c>
      <c r="F5" s="9" t="str">
        <f t="shared" si="1"/>
        <v>CarinaBenitez@gmail.com</v>
      </c>
      <c r="G5" t="str">
        <f>A5&amp;B5</f>
        <v>CarinaBenitez</v>
      </c>
    </row>
    <row r="6" spans="1:9" x14ac:dyDescent="0.25">
      <c r="A6" t="s">
        <v>63</v>
      </c>
      <c r="B6" t="s">
        <v>51</v>
      </c>
      <c r="C6" t="s">
        <v>55</v>
      </c>
      <c r="D6">
        <v>3222</v>
      </c>
      <c r="E6" t="str">
        <f t="shared" si="0"/>
        <v>Espora 3222</v>
      </c>
      <c r="F6" s="9" t="str">
        <f t="shared" si="1"/>
        <v>GustavoCosimi@gmail.com</v>
      </c>
      <c r="G6" t="str">
        <f>A6&amp;B6</f>
        <v>GustavoCosimi</v>
      </c>
    </row>
    <row r="7" spans="1:9" ht="15.75" thickBot="1" x14ac:dyDescent="0.3">
      <c r="A7" s="4" t="s">
        <v>48</v>
      </c>
      <c r="B7" s="4" t="s">
        <v>52</v>
      </c>
      <c r="C7" s="4" t="s">
        <v>56</v>
      </c>
      <c r="D7" s="4">
        <v>3885</v>
      </c>
      <c r="E7" s="4" t="str">
        <f t="shared" si="0"/>
        <v>Las Heras 3885</v>
      </c>
      <c r="F7" s="10" t="str">
        <f t="shared" si="1"/>
        <v>FernandoCastellano@gmail.com</v>
      </c>
      <c r="G7" t="str">
        <f>A7&amp;B7</f>
        <v>FernandoCastellano</v>
      </c>
    </row>
    <row r="8" spans="1:9" ht="15.75" thickTop="1" x14ac:dyDescent="0.25"/>
    <row r="9" spans="1:9" x14ac:dyDescent="0.25">
      <c r="A9" t="s">
        <v>64</v>
      </c>
    </row>
    <row r="10" spans="1:9" x14ac:dyDescent="0.25">
      <c r="A10" t="s">
        <v>65</v>
      </c>
    </row>
    <row r="11" spans="1:9" x14ac:dyDescent="0.25">
      <c r="A11" t="s">
        <v>66</v>
      </c>
    </row>
    <row r="12" spans="1:9" x14ac:dyDescent="0.25">
      <c r="A12" t="s">
        <v>67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Molina</dc:creator>
  <cp:lastModifiedBy>Facundo Molina</cp:lastModifiedBy>
  <dcterms:created xsi:type="dcterms:W3CDTF">2026-03-27T16:49:18Z</dcterms:created>
  <dcterms:modified xsi:type="dcterms:W3CDTF">2026-04-10T18:10:31Z</dcterms:modified>
</cp:coreProperties>
</file>