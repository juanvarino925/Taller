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8_{09F75E80-E68D-48B6-ACF6-5407F530D2C1}" xr6:coauthVersionLast="47" xr6:coauthVersionMax="47" xr10:uidLastSave="{00000000-0000-0000-0000-000000000000}"/>
  <bookViews>
    <workbookView xWindow="6090" yWindow="2535" windowWidth="21600" windowHeight="11295" xr2:uid="{C62B5D6E-F3FD-451B-B412-A0033F65E6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D12" i="1"/>
  <c r="D11" i="1"/>
  <c r="D10" i="1"/>
  <c r="D9" i="1"/>
</calcChain>
</file>

<file path=xl/sharedStrings.xml><?xml version="1.0" encoding="utf-8"?>
<sst xmlns="http://schemas.openxmlformats.org/spreadsheetml/2006/main" count="37" uniqueCount="28">
  <si>
    <t>Nombre</t>
  </si>
  <si>
    <t>Luis</t>
  </si>
  <si>
    <t>Carla</t>
  </si>
  <si>
    <t>Sergio</t>
  </si>
  <si>
    <t>Luisa</t>
  </si>
  <si>
    <t>Ramona</t>
  </si>
  <si>
    <t>Apellido</t>
  </si>
  <si>
    <t>Romero</t>
  </si>
  <si>
    <t>Conte</t>
  </si>
  <si>
    <t>Perez</t>
  </si>
  <si>
    <t>Ramirez</t>
  </si>
  <si>
    <t>Genero</t>
  </si>
  <si>
    <t>m</t>
  </si>
  <si>
    <t>f</t>
  </si>
  <si>
    <t>Curso</t>
  </si>
  <si>
    <t>5a</t>
  </si>
  <si>
    <t>5c</t>
  </si>
  <si>
    <t>Nota</t>
  </si>
  <si>
    <t>Cantidad de alumnos/as de 5a:</t>
  </si>
  <si>
    <t>Cantidad de alumnos/as Aprobados:</t>
  </si>
  <si>
    <t xml:space="preserve"> Cantida de alumnas Reprobadas:</t>
  </si>
  <si>
    <t>Cantidad de alumnos de 5c Aprobados:</t>
  </si>
  <si>
    <t>Carlos</t>
  </si>
  <si>
    <t>Specialli</t>
  </si>
  <si>
    <t>Precio Rifa</t>
  </si>
  <si>
    <t>Unidades</t>
  </si>
  <si>
    <t>Total</t>
  </si>
  <si>
    <t>Vendido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</si>
</sst>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F49C-995B-4019-BEAB-EAE176F6D15A}">
  <dimension ref="A1:G12"/>
  <sheetViews>
    <sheetView tabSelected="1" workbookViewId="0">
      <selection activeCell="D2" sqref="D2"/>
    </sheetView>
  </sheetViews>
  <sheetFormatPr baseColWidth="10" defaultRowHeight="15" x14ac:dyDescent="0.25"/>
  <cols>
    <col min="3" max="3" width="11.85546875" customWidth="1"/>
    <col min="7" max="7" width="11.85546875" bestFit="1" customWidth="1"/>
  </cols>
  <sheetData>
    <row r="1" spans="1:7" x14ac:dyDescent="0.25">
      <c r="A1" t="s">
        <v>0</v>
      </c>
      <c r="B1" t="s">
        <v>6</v>
      </c>
      <c r="C1" t="s">
        <v>11</v>
      </c>
      <c r="D1" t="s">
        <v>14</v>
      </c>
      <c r="E1" t="s">
        <v>17</v>
      </c>
      <c r="F1" t="s">
        <v>24</v>
      </c>
      <c r="G1" t="s">
        <v>25</v>
      </c>
    </row>
    <row r="2" spans="1:7" x14ac:dyDescent="0.25">
      <c r="A2" t="s">
        <v>1</v>
      </c>
      <c r="B2" t="s">
        <v>7</v>
      </c>
      <c r="C2" t="s">
        <v>12</v>
      </c>
      <c r="D2" t="s">
        <v>15</v>
      </c>
      <c r="E2">
        <v>8</v>
      </c>
      <c r="F2">
        <v>250</v>
      </c>
      <c r="G2">
        <v>4</v>
      </c>
    </row>
    <row r="3" spans="1:7" x14ac:dyDescent="0.25">
      <c r="A3" t="s">
        <v>2</v>
      </c>
      <c r="B3" t="s">
        <v>8</v>
      </c>
      <c r="C3" t="s">
        <v>13</v>
      </c>
      <c r="D3" t="s">
        <v>15</v>
      </c>
      <c r="E3">
        <v>7</v>
      </c>
      <c r="F3">
        <v>110</v>
      </c>
      <c r="G3">
        <v>3</v>
      </c>
    </row>
    <row r="4" spans="1:7" x14ac:dyDescent="0.25">
      <c r="A4" t="s">
        <v>3</v>
      </c>
      <c r="B4" t="s">
        <v>9</v>
      </c>
      <c r="C4" t="s">
        <v>12</v>
      </c>
      <c r="D4" t="s">
        <v>16</v>
      </c>
      <c r="E4">
        <v>4</v>
      </c>
      <c r="F4">
        <v>100</v>
      </c>
      <c r="G4">
        <v>2</v>
      </c>
    </row>
    <row r="5" spans="1:7" x14ac:dyDescent="0.25">
      <c r="A5" t="s">
        <v>4</v>
      </c>
      <c r="B5" t="s">
        <v>10</v>
      </c>
      <c r="C5" t="s">
        <v>13</v>
      </c>
      <c r="D5" t="s">
        <v>16</v>
      </c>
      <c r="E5">
        <v>2</v>
      </c>
      <c r="F5">
        <v>350</v>
      </c>
      <c r="G5">
        <v>5</v>
      </c>
    </row>
    <row r="6" spans="1:7" x14ac:dyDescent="0.25">
      <c r="A6" t="s">
        <v>5</v>
      </c>
      <c r="B6" t="s">
        <v>7</v>
      </c>
      <c r="C6" t="s">
        <v>13</v>
      </c>
      <c r="D6" t="s">
        <v>15</v>
      </c>
      <c r="E6">
        <v>6</v>
      </c>
      <c r="F6">
        <v>500</v>
      </c>
      <c r="G6">
        <v>4</v>
      </c>
    </row>
    <row r="7" spans="1:7" x14ac:dyDescent="0.25">
      <c r="A7" t="s">
        <v>22</v>
      </c>
      <c r="B7" t="s">
        <v>23</v>
      </c>
      <c r="C7" t="s">
        <v>12</v>
      </c>
      <c r="D7" t="s">
        <v>16</v>
      </c>
      <c r="E7">
        <v>4</v>
      </c>
      <c r="F7">
        <v>200</v>
      </c>
      <c r="G7">
        <v>2</v>
      </c>
    </row>
    <row r="8" spans="1:7" x14ac:dyDescent="0.25">
      <c r="F8" t="s">
        <v>26</v>
      </c>
      <c r="G8">
        <f>SUMPRODUCT(F2:F7,G2:G7)</f>
        <v>5680</v>
      </c>
    </row>
    <row r="9" spans="1:7" x14ac:dyDescent="0.25">
      <c r="A9" t="s">
        <v>18</v>
      </c>
      <c r="D9">
        <f>COUNTIF(D2:D7,"5a")</f>
        <v>3</v>
      </c>
      <c r="F9" t="s">
        <v>27</v>
      </c>
      <c r="G9">
        <f>SUMIF(C2:C7,"f",G2:G7)</f>
        <v>12</v>
      </c>
    </row>
    <row r="10" spans="1:7" x14ac:dyDescent="0.25">
      <c r="A10" t="s">
        <v>19</v>
      </c>
      <c r="D10">
        <f>COUNTIF(E2:E7,"&gt;=6")</f>
        <v>3</v>
      </c>
    </row>
    <row r="11" spans="1:7" x14ac:dyDescent="0.25">
      <c r="A11" t="s">
        <v>20</v>
      </c>
      <c r="D11">
        <f>COUNTIFS(C2:C7,"f",E2:E7,"&lt;=5,50")</f>
        <v>1</v>
      </c>
    </row>
    <row r="12" spans="1:7" x14ac:dyDescent="0.25">
      <c r="A12" t="s">
        <v>21</v>
      </c>
      <c r="D12">
        <f>COUNTIFS(C2:C7,"m",D2:D7,"5c",E2:E7,"&gt;=5,50")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Molina</dc:creator>
  <cp:lastModifiedBy>Facundo Molina</cp:lastModifiedBy>
  <dcterms:created xsi:type="dcterms:W3CDTF">2026-04-17T17:02:27Z</dcterms:created>
  <dcterms:modified xsi:type="dcterms:W3CDTF">2026-04-17T18:07:10Z</dcterms:modified>
</cp:coreProperties>
</file>